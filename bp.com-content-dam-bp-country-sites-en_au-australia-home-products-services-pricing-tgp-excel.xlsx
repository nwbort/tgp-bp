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p365.sharepoint.com/sites/WholesalePricing/Shared Documents/B2C/TGP/Daily TGP/Web TGP/"/>
    </mc:Choice>
  </mc:AlternateContent>
  <xr:revisionPtr revIDLastSave="4" documentId="14_{69D4A93B-6721-4548-8B72-8918F64557FA}" xr6:coauthVersionLast="47" xr6:coauthVersionMax="47" xr10:uidLastSave="{50CD192A-B954-4575-A57C-5B48438564AD}"/>
  <bookViews>
    <workbookView xWindow="-28920" yWindow="-120" windowWidth="29040" windowHeight="15720" xr2:uid="{1B412EEF-F96D-4DF4-A4E9-C7F0F183C2FB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1" l="1"/>
</calcChain>
</file>

<file path=xl/sharedStrings.xml><?xml version="1.0" encoding="utf-8"?>
<sst xmlns="http://schemas.openxmlformats.org/spreadsheetml/2006/main" count="104" uniqueCount="38">
  <si>
    <t>BP terminal gate pricing by state</t>
  </si>
  <si>
    <t>These prices are current and displayed in Australian cents per litre with GST included.</t>
  </si>
  <si>
    <t>Fuels are sold at temperature-corrected volumes as legislated by the federal government.</t>
  </si>
  <si>
    <t>New South Wales</t>
  </si>
  <si>
    <t>Effective Date</t>
  </si>
  <si>
    <t>Terminal</t>
  </si>
  <si>
    <t>Diesel</t>
  </si>
  <si>
    <t>ULP</t>
  </si>
  <si>
    <t>PULP</t>
  </si>
  <si>
    <t>e10</t>
  </si>
  <si>
    <t>Sydney-Botany</t>
  </si>
  <si>
    <t>Sydney-Silverwater</t>
  </si>
  <si>
    <t>Newcastle</t>
  </si>
  <si>
    <t>Northern Territory</t>
  </si>
  <si>
    <t>Darwin</t>
  </si>
  <si>
    <t>Queensland</t>
  </si>
  <si>
    <t>Brisbane</t>
  </si>
  <si>
    <t>Cairns</t>
  </si>
  <si>
    <t>N/A</t>
  </si>
  <si>
    <t>Gladstone</t>
  </si>
  <si>
    <t>Mackay</t>
  </si>
  <si>
    <t>Townsville</t>
  </si>
  <si>
    <t>South Australia</t>
  </si>
  <si>
    <t>Adelaide</t>
  </si>
  <si>
    <t>Tasmania</t>
  </si>
  <si>
    <t>Burnie</t>
  </si>
  <si>
    <t>Hobart</t>
  </si>
  <si>
    <t>Victoria</t>
  </si>
  <si>
    <t>Geelong</t>
  </si>
  <si>
    <t>Melbourne</t>
  </si>
  <si>
    <t>Western Australia</t>
  </si>
  <si>
    <t>Broome</t>
  </si>
  <si>
    <t>Esperance</t>
  </si>
  <si>
    <t>Geraldton</t>
  </si>
  <si>
    <t>Kalgoorlie</t>
  </si>
  <si>
    <t>Perth</t>
  </si>
  <si>
    <t>Port Hedland</t>
  </si>
  <si>
    <t>Port Bonython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</si>
</sst>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_(* #,##0.00_);_(* \(#,##0.00\);_(* &quot;-&quot;??_);_(@_)"/>
    <numFmt numFmtId="165" formatCode="[$-C09]d\ mmmm\ yyyy;@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8"/>
      <color rgb="FF007F00"/>
      <name val="Arial"/>
      <family val="2"/>
    </font>
    <font>
      <sz val="10"/>
      <color rgb="FF666666"/>
      <name val="Arial"/>
      <family val="2"/>
    </font>
    <font>
      <sz val="16"/>
      <color rgb="FF007F00"/>
      <name val="Arial"/>
      <family val="2"/>
    </font>
    <font>
      <sz val="11"/>
      <color rgb="FF007F00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5" fillId="3" borderId="2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top" wrapText="1" indent="1"/>
    </xf>
    <xf numFmtId="0" fontId="5" fillId="3" borderId="4" xfId="0" applyFont="1" applyFill="1" applyBorder="1" applyAlignment="1">
      <alignment horizontal="center" vertical="center" wrapText="1"/>
    </xf>
    <xf numFmtId="165" fontId="6" fillId="2" borderId="2" xfId="0" applyNumberFormat="1" applyFont="1" applyFill="1" applyBorder="1" applyAlignment="1">
      <alignment horizontal="left" vertical="center" indent="1"/>
    </xf>
    <xf numFmtId="0" fontId="6" fillId="2" borderId="3" xfId="0" applyFont="1" applyFill="1" applyBorder="1" applyAlignment="1">
      <alignment horizontal="left" vertical="center" indent="1"/>
    </xf>
    <xf numFmtId="0" fontId="6" fillId="0" borderId="3" xfId="0" applyFont="1" applyBorder="1" applyAlignment="1">
      <alignment horizontal="left" vertical="center" indent="1"/>
    </xf>
    <xf numFmtId="2" fontId="6" fillId="0" borderId="4" xfId="0" applyNumberFormat="1" applyFont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left" vertical="center" indent="1"/>
    </xf>
    <xf numFmtId="0" fontId="6" fillId="4" borderId="3" xfId="0" applyFont="1" applyFill="1" applyBorder="1" applyAlignment="1">
      <alignment horizontal="left" vertical="center" indent="1"/>
    </xf>
    <xf numFmtId="2" fontId="6" fillId="4" borderId="3" xfId="0" applyNumberFormat="1" applyFont="1" applyFill="1" applyBorder="1" applyAlignment="1">
      <alignment horizontal="center" vertical="center"/>
    </xf>
    <xf numFmtId="15" fontId="6" fillId="2" borderId="5" xfId="0" applyNumberFormat="1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left" vertical="center" indent="1"/>
    </xf>
    <xf numFmtId="2" fontId="6" fillId="2" borderId="0" xfId="0" applyNumberFormat="1" applyFont="1" applyFill="1" applyAlignment="1">
      <alignment horizontal="center" vertical="center"/>
    </xf>
    <xf numFmtId="2" fontId="0" fillId="2" borderId="0" xfId="0" applyNumberFormat="1" applyFill="1" applyAlignment="1">
      <alignment horizontal="center" vertical="center"/>
    </xf>
    <xf numFmtId="0" fontId="5" fillId="3" borderId="4" xfId="0" applyFont="1" applyFill="1" applyBorder="1" applyAlignment="1">
      <alignment horizontal="left" vertical="top" wrapText="1" indent="1"/>
    </xf>
    <xf numFmtId="2" fontId="5" fillId="3" borderId="4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indent="1"/>
    </xf>
    <xf numFmtId="0" fontId="6" fillId="4" borderId="4" xfId="0" applyFont="1" applyFill="1" applyBorder="1" applyAlignment="1">
      <alignment horizontal="left" vertical="center" indent="1"/>
    </xf>
    <xf numFmtId="2" fontId="6" fillId="0" borderId="3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5" fontId="6" fillId="2" borderId="0" xfId="0" applyNumberFormat="1" applyFont="1" applyFill="1" applyAlignment="1">
      <alignment horizontal="left" vertical="center" indent="1"/>
    </xf>
    <xf numFmtId="0" fontId="4" fillId="2" borderId="1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</cellXfs>
  <cellStyles count="4">
    <cellStyle name="Comma 2 5 2 2" xfId="3" xr:uid="{CD6D6A63-33C0-4758-BBA9-8C23D1941671}"/>
    <cellStyle name="Normal" xfId="0" builtinId="0"/>
    <cellStyle name="Normal 113" xfId="2" xr:uid="{89FB24BA-32FF-4597-8E08-B67E8F372D44}"/>
    <cellStyle name="Normal 4 2" xfId="1" xr:uid="{B839FBAF-6C59-4BAF-BF4C-5CD7606D9753}"/>
  </cellStyles>
  <dxfs count="0"/>
  <tableStyles count="1" defaultTableStyle="TableStyleMedium2" defaultPivotStyle="PivotStyleLight16">
    <tableStyle name="Invisible" pivot="0" table="0" count="0" xr9:uid="{0874AF9A-801A-447F-8E16-F3975CA4F60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LT/Daily%20TGP.xlsm" TargetMode="External"/><Relationship Id="rId2" Type="http://schemas.openxmlformats.org/officeDocument/2006/relationships/externalLinkPath" Target="https://bp365.sharepoint.com/sites/WholesalePricing/Shared%20Documents/B2C/TGP/Daily%20TGP/DLT/Daily%20TGP.xlsm" TargetMode="External"/><Relationship Id="rId1" Type="http://schemas.openxmlformats.org/officeDocument/2006/relationships/externalLinkPath" Target="/sites/WholesalePricing/Shared%20Documents/B2C/TGP/Daily%20TGP/DLT/Daily%20TG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ront Page"/>
      <sheetName val="PCNs"/>
      <sheetName val="BM List"/>
      <sheetName val="BM Check"/>
      <sheetName val="ORP List"/>
      <sheetName val="ZP01"/>
      <sheetName val="Leader Price Movement"/>
      <sheetName val="Leader Follower Check"/>
      <sheetName val="New Database"/>
      <sheetName val="Bottoms"/>
      <sheetName val="PROS Dump Check"/>
      <sheetName val="Web TGP"/>
      <sheetName val="FuelWatch Check"/>
      <sheetName val="FuelWatch Upload"/>
      <sheetName val="FuelWatch"/>
      <sheetName val="Web TGP Check"/>
      <sheetName val="Rack Price - Card"/>
      <sheetName val="Rack Notification"/>
      <sheetName val="TGP Notification"/>
      <sheetName val="Lookup"/>
      <sheetName val="Comp TG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J2">
            <v>46109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4FFE7-32C6-4DAA-B3DB-D2327BBABD5A}">
  <sheetPr codeName="Sheet1">
    <pageSetUpPr fitToPage="1"/>
  </sheetPr>
  <dimension ref="A1:G66"/>
  <sheetViews>
    <sheetView tabSelected="1" showWhiteSpace="0" zoomScaleNormal="100" workbookViewId="0">
      <selection activeCell="F37" sqref="F37"/>
    </sheetView>
  </sheetViews>
  <sheetFormatPr defaultRowHeight="15" x14ac:dyDescent="0.25"/>
  <cols>
    <col min="1" max="1" width="76.42578125" bestFit="1" customWidth="1"/>
    <col min="2" max="2" width="6.42578125"/>
    <col min="3" max="3" width="18.28515625" bestFit="1" customWidth="1"/>
    <col min="4" max="4" width="6.85546875" bestFit="1" customWidth="1"/>
    <col min="5" max="7" width="6.5703125" bestFit="1" customWidth="1"/>
  </cols>
  <sheetData>
    <row r="1" spans="1:7" ht="23.25" x14ac:dyDescent="0.25">
      <c r="A1" s="28" t="s">
        <v>0</v>
      </c>
      <c r="B1" s="28"/>
      <c r="C1" s="1"/>
      <c r="D1" s="2"/>
      <c r="E1" s="2"/>
      <c r="F1" s="2"/>
      <c r="G1" s="2"/>
    </row>
    <row r="2" spans="1:7" x14ac:dyDescent="0.25">
      <c r="A2" s="3"/>
      <c r="B2" s="1"/>
      <c r="C2" s="1"/>
      <c r="D2" s="2"/>
      <c r="E2" s="2"/>
      <c r="F2" s="2"/>
      <c r="G2" s="2"/>
    </row>
    <row r="3" spans="1:7" x14ac:dyDescent="0.25">
      <c r="A3" s="3" t="s">
        <v>1</v>
      </c>
      <c r="B3" s="3"/>
      <c r="C3" s="1"/>
      <c r="D3" s="2"/>
      <c r="E3" s="2"/>
      <c r="F3" s="2"/>
      <c r="G3" s="2"/>
    </row>
    <row r="4" spans="1:7" x14ac:dyDescent="0.25">
      <c r="A4" s="3" t="s">
        <v>2</v>
      </c>
      <c r="B4" s="3"/>
      <c r="C4" s="1"/>
      <c r="D4" s="2"/>
      <c r="E4" s="2"/>
      <c r="F4" s="2"/>
      <c r="G4" s="2"/>
    </row>
    <row r="5" spans="1:7" x14ac:dyDescent="0.25">
      <c r="A5" s="3"/>
      <c r="B5" s="3"/>
      <c r="C5" s="1"/>
      <c r="D5" s="2"/>
      <c r="E5" s="2"/>
      <c r="F5" s="2"/>
      <c r="G5" s="2"/>
    </row>
    <row r="6" spans="1:7" ht="20.25" x14ac:dyDescent="0.25">
      <c r="A6" s="29" t="s">
        <v>3</v>
      </c>
      <c r="B6" s="29"/>
      <c r="C6" s="1"/>
      <c r="D6" s="2"/>
      <c r="E6" s="2"/>
      <c r="F6" s="2"/>
      <c r="G6" s="2"/>
    </row>
    <row r="7" spans="1:7" x14ac:dyDescent="0.25">
      <c r="A7" s="4" t="s">
        <v>4</v>
      </c>
      <c r="B7" s="5"/>
      <c r="C7" s="5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x14ac:dyDescent="0.25">
      <c r="A8" s="7">
        <v>46109</v>
      </c>
      <c r="B8" s="8"/>
      <c r="C8" s="9" t="s">
        <v>10</v>
      </c>
      <c r="D8" s="10">
        <v>299.23</v>
      </c>
      <c r="E8" s="10">
        <v>233.43</v>
      </c>
      <c r="F8" s="10">
        <v>243.43</v>
      </c>
      <c r="G8" s="10">
        <v>233.32</v>
      </c>
    </row>
    <row r="9" spans="1:7" x14ac:dyDescent="0.25">
      <c r="A9" s="11">
        <v>46109</v>
      </c>
      <c r="B9" s="12"/>
      <c r="C9" s="12" t="s">
        <v>11</v>
      </c>
      <c r="D9" s="13">
        <v>299.23</v>
      </c>
      <c r="E9" s="13">
        <v>233.43</v>
      </c>
      <c r="F9" s="13">
        <v>243.43</v>
      </c>
      <c r="G9" s="13">
        <v>233.32</v>
      </c>
    </row>
    <row r="10" spans="1:7" x14ac:dyDescent="0.25">
      <c r="A10" s="7">
        <v>46109</v>
      </c>
      <c r="B10" s="8"/>
      <c r="C10" s="9" t="s">
        <v>12</v>
      </c>
      <c r="D10" s="10">
        <v>300.10000000000002</v>
      </c>
      <c r="E10" s="10">
        <v>236.06</v>
      </c>
      <c r="F10" s="10">
        <v>246.06</v>
      </c>
      <c r="G10" s="10">
        <v>236.3</v>
      </c>
    </row>
    <row r="11" spans="1:7" x14ac:dyDescent="0.25">
      <c r="A11" s="11">
        <v>46108</v>
      </c>
      <c r="B11" s="12"/>
      <c r="C11" s="12" t="s">
        <v>10</v>
      </c>
      <c r="D11" s="13">
        <v>298.98</v>
      </c>
      <c r="E11" s="13">
        <v>237.28</v>
      </c>
      <c r="F11" s="13">
        <v>247.28</v>
      </c>
      <c r="G11" s="13">
        <v>237.16</v>
      </c>
    </row>
    <row r="12" spans="1:7" x14ac:dyDescent="0.25">
      <c r="A12" s="7">
        <v>46108</v>
      </c>
      <c r="B12" s="8"/>
      <c r="C12" s="9" t="s">
        <v>11</v>
      </c>
      <c r="D12" s="10">
        <v>298.98</v>
      </c>
      <c r="E12" s="10">
        <v>237.28</v>
      </c>
      <c r="F12" s="10">
        <v>247.28</v>
      </c>
      <c r="G12" s="10">
        <v>237.16</v>
      </c>
    </row>
    <row r="13" spans="1:7" x14ac:dyDescent="0.25">
      <c r="A13" s="11">
        <v>46108</v>
      </c>
      <c r="B13" s="12"/>
      <c r="C13" s="12" t="s">
        <v>12</v>
      </c>
      <c r="D13" s="13">
        <v>299.83999999999997</v>
      </c>
      <c r="E13" s="13">
        <v>239.91</v>
      </c>
      <c r="F13" s="13">
        <v>249.91</v>
      </c>
      <c r="G13" s="13">
        <v>240.15</v>
      </c>
    </row>
    <row r="14" spans="1:7" x14ac:dyDescent="0.25">
      <c r="A14" s="14"/>
      <c r="B14" s="14"/>
      <c r="C14" s="15"/>
      <c r="D14" s="16"/>
      <c r="E14" s="16"/>
      <c r="F14" s="16"/>
      <c r="G14" s="16"/>
    </row>
    <row r="15" spans="1:7" ht="20.25" x14ac:dyDescent="0.25">
      <c r="A15" s="29" t="s">
        <v>13</v>
      </c>
      <c r="B15" s="29"/>
      <c r="C15" s="1"/>
      <c r="D15" s="17"/>
      <c r="E15" s="17"/>
      <c r="F15" s="17"/>
      <c r="G15" s="17"/>
    </row>
    <row r="16" spans="1:7" x14ac:dyDescent="0.25">
      <c r="A16" s="4" t="s">
        <v>4</v>
      </c>
      <c r="B16" s="5"/>
      <c r="C16" s="18" t="s">
        <v>5</v>
      </c>
      <c r="D16" s="19" t="s">
        <v>6</v>
      </c>
      <c r="E16" s="19" t="s">
        <v>7</v>
      </c>
      <c r="F16" s="19" t="s">
        <v>8</v>
      </c>
      <c r="G16" s="17"/>
    </row>
    <row r="17" spans="1:7" x14ac:dyDescent="0.25">
      <c r="A17" s="7">
        <v>46109</v>
      </c>
      <c r="B17" s="8"/>
      <c r="C17" s="20" t="s">
        <v>14</v>
      </c>
      <c r="D17" s="10">
        <v>302.39</v>
      </c>
      <c r="E17" s="10">
        <v>236.6</v>
      </c>
      <c r="F17" s="10">
        <v>246.6</v>
      </c>
      <c r="G17" s="17"/>
    </row>
    <row r="18" spans="1:7" x14ac:dyDescent="0.25">
      <c r="A18" s="11">
        <v>46108</v>
      </c>
      <c r="B18" s="12"/>
      <c r="C18" s="12" t="s">
        <v>14</v>
      </c>
      <c r="D18" s="13">
        <v>301.11</v>
      </c>
      <c r="E18" s="13">
        <v>240.54</v>
      </c>
      <c r="F18" s="13">
        <v>250.54</v>
      </c>
      <c r="G18" s="17"/>
    </row>
    <row r="19" spans="1:7" x14ac:dyDescent="0.25">
      <c r="A19" s="14"/>
      <c r="B19" s="14"/>
      <c r="C19" s="15"/>
      <c r="D19" s="16"/>
      <c r="E19" s="16"/>
      <c r="F19" s="16"/>
      <c r="G19" s="17"/>
    </row>
    <row r="20" spans="1:7" ht="20.25" x14ac:dyDescent="0.25">
      <c r="A20" s="29" t="s">
        <v>15</v>
      </c>
      <c r="B20" s="29"/>
      <c r="C20" s="1"/>
      <c r="D20" s="17"/>
      <c r="E20" s="17"/>
      <c r="F20" s="17"/>
      <c r="G20" s="17"/>
    </row>
    <row r="21" spans="1:7" x14ac:dyDescent="0.25">
      <c r="A21" s="4" t="s">
        <v>4</v>
      </c>
      <c r="B21" s="5"/>
      <c r="C21" s="18" t="s">
        <v>5</v>
      </c>
      <c r="D21" s="19" t="s">
        <v>6</v>
      </c>
      <c r="E21" s="19" t="s">
        <v>7</v>
      </c>
      <c r="F21" s="19" t="s">
        <v>8</v>
      </c>
      <c r="G21" s="19" t="s">
        <v>9</v>
      </c>
    </row>
    <row r="22" spans="1:7" x14ac:dyDescent="0.25">
      <c r="A22" s="7">
        <v>46109</v>
      </c>
      <c r="B22" s="8"/>
      <c r="C22" s="20" t="s">
        <v>16</v>
      </c>
      <c r="D22" s="10">
        <v>298.98</v>
      </c>
      <c r="E22" s="10">
        <v>234.42</v>
      </c>
      <c r="F22" s="10">
        <v>244.02</v>
      </c>
      <c r="G22" s="10">
        <v>236.17</v>
      </c>
    </row>
    <row r="23" spans="1:7" x14ac:dyDescent="0.25">
      <c r="A23" s="11">
        <v>46109</v>
      </c>
      <c r="B23" s="12"/>
      <c r="C23" s="21" t="s">
        <v>17</v>
      </c>
      <c r="D23" s="13">
        <v>301.83999999999997</v>
      </c>
      <c r="E23" s="13">
        <v>241.67</v>
      </c>
      <c r="F23" s="13">
        <v>251.67</v>
      </c>
      <c r="G23" s="13" t="s">
        <v>18</v>
      </c>
    </row>
    <row r="24" spans="1:7" x14ac:dyDescent="0.25">
      <c r="A24" s="7">
        <v>46109</v>
      </c>
      <c r="B24" s="8"/>
      <c r="C24" s="20" t="s">
        <v>19</v>
      </c>
      <c r="D24" s="10">
        <v>301.91000000000003</v>
      </c>
      <c r="E24" s="10">
        <v>242.38</v>
      </c>
      <c r="F24" s="10">
        <v>252.38</v>
      </c>
      <c r="G24" s="10" t="s">
        <v>18</v>
      </c>
    </row>
    <row r="25" spans="1:7" x14ac:dyDescent="0.25">
      <c r="A25" s="11">
        <v>46109</v>
      </c>
      <c r="B25" s="12"/>
      <c r="C25" s="21" t="s">
        <v>20</v>
      </c>
      <c r="D25" s="13">
        <v>301.87</v>
      </c>
      <c r="E25" s="13">
        <v>242.12</v>
      </c>
      <c r="F25" s="13">
        <v>252.12</v>
      </c>
      <c r="G25" s="13">
        <v>242.96</v>
      </c>
    </row>
    <row r="26" spans="1:7" x14ac:dyDescent="0.25">
      <c r="A26" s="7">
        <v>46109</v>
      </c>
      <c r="B26" s="8"/>
      <c r="C26" s="20" t="s">
        <v>21</v>
      </c>
      <c r="D26" s="10">
        <v>301.39999999999998</v>
      </c>
      <c r="E26" s="10">
        <v>242.63</v>
      </c>
      <c r="F26" s="10">
        <v>252.63</v>
      </c>
      <c r="G26" s="10" t="s">
        <v>18</v>
      </c>
    </row>
    <row r="27" spans="1:7" x14ac:dyDescent="0.25">
      <c r="A27" s="11">
        <v>46108</v>
      </c>
      <c r="B27" s="12"/>
      <c r="C27" s="12" t="s">
        <v>16</v>
      </c>
      <c r="D27" s="13">
        <v>298.95</v>
      </c>
      <c r="E27" s="13">
        <v>238.27</v>
      </c>
      <c r="F27" s="13">
        <v>247.87</v>
      </c>
      <c r="G27" s="13">
        <v>240.02</v>
      </c>
    </row>
    <row r="28" spans="1:7" x14ac:dyDescent="0.25">
      <c r="A28" s="7">
        <v>46108</v>
      </c>
      <c r="B28" s="8"/>
      <c r="C28" s="20" t="s">
        <v>17</v>
      </c>
      <c r="D28" s="10">
        <v>300.47000000000003</v>
      </c>
      <c r="E28" s="22">
        <v>246.64</v>
      </c>
      <c r="F28" s="22">
        <v>256.64</v>
      </c>
      <c r="G28" s="22" t="s">
        <v>18</v>
      </c>
    </row>
    <row r="29" spans="1:7" x14ac:dyDescent="0.25">
      <c r="A29" s="11">
        <v>46108</v>
      </c>
      <c r="B29" s="12"/>
      <c r="C29" s="12" t="s">
        <v>19</v>
      </c>
      <c r="D29" s="13">
        <v>300.55</v>
      </c>
      <c r="E29" s="13">
        <v>247.3</v>
      </c>
      <c r="F29" s="13">
        <v>257.3</v>
      </c>
      <c r="G29" s="13" t="s">
        <v>18</v>
      </c>
    </row>
    <row r="30" spans="1:7" x14ac:dyDescent="0.25">
      <c r="A30" s="7">
        <v>46108</v>
      </c>
      <c r="B30" s="8"/>
      <c r="C30" s="20" t="s">
        <v>20</v>
      </c>
      <c r="D30" s="10">
        <v>300.51</v>
      </c>
      <c r="E30" s="22">
        <v>247.04</v>
      </c>
      <c r="F30" s="22">
        <v>257.04000000000002</v>
      </c>
      <c r="G30" s="22">
        <v>247.89</v>
      </c>
    </row>
    <row r="31" spans="1:7" x14ac:dyDescent="0.25">
      <c r="A31" s="11">
        <v>46108</v>
      </c>
      <c r="B31" s="12"/>
      <c r="C31" s="12" t="s">
        <v>21</v>
      </c>
      <c r="D31" s="13">
        <v>300.06</v>
      </c>
      <c r="E31" s="13">
        <v>247.6</v>
      </c>
      <c r="F31" s="13">
        <v>257.60000000000002</v>
      </c>
      <c r="G31" s="13" t="s">
        <v>18</v>
      </c>
    </row>
    <row r="32" spans="1:7" x14ac:dyDescent="0.25">
      <c r="A32" s="14"/>
      <c r="B32" s="14"/>
      <c r="C32" s="15"/>
      <c r="D32" s="17"/>
      <c r="E32" s="17"/>
      <c r="F32" s="17"/>
      <c r="G32" s="17"/>
    </row>
    <row r="33" spans="1:7" ht="20.25" x14ac:dyDescent="0.25">
      <c r="A33" s="29" t="s">
        <v>22</v>
      </c>
      <c r="B33" s="29"/>
      <c r="C33" s="1"/>
      <c r="D33" s="17"/>
      <c r="E33" s="17"/>
      <c r="F33" s="17"/>
      <c r="G33" s="17"/>
    </row>
    <row r="34" spans="1:7" x14ac:dyDescent="0.25">
      <c r="A34" s="23" t="s">
        <v>4</v>
      </c>
      <c r="B34" s="5"/>
      <c r="C34" s="18" t="s">
        <v>5</v>
      </c>
      <c r="D34" s="19" t="s">
        <v>6</v>
      </c>
      <c r="E34" s="19" t="s">
        <v>7</v>
      </c>
      <c r="F34" s="19" t="s">
        <v>8</v>
      </c>
      <c r="G34" s="17"/>
    </row>
    <row r="35" spans="1:7" x14ac:dyDescent="0.25">
      <c r="A35" s="7">
        <v>46109</v>
      </c>
      <c r="B35" s="8"/>
      <c r="C35" s="20" t="s">
        <v>23</v>
      </c>
      <c r="D35" s="10">
        <v>297.89</v>
      </c>
      <c r="E35" s="10">
        <v>236.6</v>
      </c>
      <c r="F35" s="10">
        <v>245.6</v>
      </c>
      <c r="G35" s="17"/>
    </row>
    <row r="36" spans="1:7" x14ac:dyDescent="0.25">
      <c r="A36" s="11">
        <v>46108</v>
      </c>
      <c r="B36" s="12"/>
      <c r="C36" s="12" t="s">
        <v>23</v>
      </c>
      <c r="D36" s="13">
        <v>296.52</v>
      </c>
      <c r="E36" s="13">
        <v>240.44</v>
      </c>
      <c r="F36" s="13">
        <v>249.44</v>
      </c>
      <c r="G36" s="17"/>
    </row>
    <row r="37" spans="1:7" x14ac:dyDescent="0.25">
      <c r="A37" s="7">
        <f>'[1]Web TGP'!$J$2</f>
        <v>46109</v>
      </c>
      <c r="B37" s="8"/>
      <c r="C37" s="20" t="s">
        <v>37</v>
      </c>
      <c r="D37" s="10">
        <v>313.51</v>
      </c>
      <c r="E37" s="10" t="s">
        <v>18</v>
      </c>
      <c r="F37" s="10" t="s">
        <v>18</v>
      </c>
      <c r="G37" s="17"/>
    </row>
    <row r="38" spans="1:7" x14ac:dyDescent="0.25">
      <c r="A38" s="14"/>
      <c r="B38" s="14"/>
      <c r="C38" s="15"/>
      <c r="D38" s="17"/>
      <c r="G38" s="17"/>
    </row>
    <row r="39" spans="1:7" ht="20.25" x14ac:dyDescent="0.25">
      <c r="A39" s="29" t="s">
        <v>24</v>
      </c>
      <c r="B39" s="29"/>
      <c r="C39" s="1"/>
      <c r="D39" s="17"/>
      <c r="E39" s="17"/>
      <c r="F39" s="17"/>
      <c r="G39" s="17"/>
    </row>
    <row r="40" spans="1:7" x14ac:dyDescent="0.25">
      <c r="A40" s="23" t="s">
        <v>4</v>
      </c>
      <c r="B40" s="5"/>
      <c r="C40" s="18" t="s">
        <v>5</v>
      </c>
      <c r="D40" s="19" t="s">
        <v>6</v>
      </c>
      <c r="E40" s="19" t="s">
        <v>7</v>
      </c>
      <c r="F40" s="19" t="s">
        <v>8</v>
      </c>
      <c r="G40" s="17"/>
    </row>
    <row r="41" spans="1:7" x14ac:dyDescent="0.25">
      <c r="A41" s="7">
        <v>46109</v>
      </c>
      <c r="B41" s="8"/>
      <c r="C41" s="20" t="s">
        <v>25</v>
      </c>
      <c r="D41" s="10">
        <v>305.20999999999998</v>
      </c>
      <c r="E41" s="10">
        <v>241.93</v>
      </c>
      <c r="F41" s="10">
        <v>251.93</v>
      </c>
      <c r="G41" s="17"/>
    </row>
    <row r="42" spans="1:7" x14ac:dyDescent="0.25">
      <c r="A42" s="11">
        <v>46109</v>
      </c>
      <c r="B42" s="12"/>
      <c r="C42" s="21" t="s">
        <v>26</v>
      </c>
      <c r="D42" s="13">
        <v>304.77999999999997</v>
      </c>
      <c r="E42" s="13">
        <v>242.34</v>
      </c>
      <c r="F42" s="13">
        <v>252.34</v>
      </c>
      <c r="G42" s="17"/>
    </row>
    <row r="43" spans="1:7" x14ac:dyDescent="0.25">
      <c r="A43" s="7">
        <v>46108</v>
      </c>
      <c r="B43" s="8"/>
      <c r="C43" s="20" t="s">
        <v>25</v>
      </c>
      <c r="D43" s="10">
        <v>302.68</v>
      </c>
      <c r="E43" s="10">
        <v>240.68</v>
      </c>
      <c r="F43" s="10">
        <v>250.68</v>
      </c>
      <c r="G43" s="17"/>
    </row>
    <row r="44" spans="1:7" x14ac:dyDescent="0.25">
      <c r="A44" s="11">
        <v>46108</v>
      </c>
      <c r="B44" s="12"/>
      <c r="C44" s="21" t="s">
        <v>26</v>
      </c>
      <c r="D44" s="13">
        <v>302.26</v>
      </c>
      <c r="E44" s="13">
        <v>241.09</v>
      </c>
      <c r="F44" s="13">
        <v>251.09</v>
      </c>
      <c r="G44" s="17"/>
    </row>
    <row r="45" spans="1:7" ht="40.5" customHeight="1" x14ac:dyDescent="0.25">
      <c r="A45" s="14"/>
      <c r="B45" s="24"/>
      <c r="C45" s="15"/>
      <c r="D45" s="16"/>
      <c r="E45" s="16"/>
      <c r="F45" s="16"/>
      <c r="G45" s="17"/>
    </row>
    <row r="46" spans="1:7" ht="20.25" x14ac:dyDescent="0.25">
      <c r="A46" s="25" t="s">
        <v>27</v>
      </c>
      <c r="B46" s="26"/>
      <c r="C46" s="1"/>
      <c r="D46" s="17"/>
      <c r="E46" s="17"/>
      <c r="F46" s="17"/>
      <c r="G46" s="17"/>
    </row>
    <row r="47" spans="1:7" x14ac:dyDescent="0.25">
      <c r="A47" s="23" t="s">
        <v>4</v>
      </c>
      <c r="B47" s="5"/>
      <c r="C47" s="18" t="s">
        <v>5</v>
      </c>
      <c r="D47" s="19" t="s">
        <v>6</v>
      </c>
      <c r="E47" s="19" t="s">
        <v>7</v>
      </c>
      <c r="F47" s="19" t="s">
        <v>8</v>
      </c>
      <c r="G47" s="17"/>
    </row>
    <row r="48" spans="1:7" x14ac:dyDescent="0.25">
      <c r="A48" s="7">
        <v>46109</v>
      </c>
      <c r="B48" s="8"/>
      <c r="C48" s="20" t="s">
        <v>28</v>
      </c>
      <c r="D48" s="10">
        <v>300.82</v>
      </c>
      <c r="E48" s="10">
        <v>239.2</v>
      </c>
      <c r="F48" s="10">
        <v>249.2</v>
      </c>
      <c r="G48" s="17"/>
    </row>
    <row r="49" spans="1:7" x14ac:dyDescent="0.25">
      <c r="A49" s="11">
        <v>46109</v>
      </c>
      <c r="B49" s="12"/>
      <c r="C49" s="21" t="s">
        <v>29</v>
      </c>
      <c r="D49" s="13">
        <v>300.51</v>
      </c>
      <c r="E49" s="13">
        <v>239.2</v>
      </c>
      <c r="F49" s="13">
        <v>249.2</v>
      </c>
      <c r="G49" s="17"/>
    </row>
    <row r="50" spans="1:7" x14ac:dyDescent="0.25">
      <c r="A50" s="7">
        <v>46108</v>
      </c>
      <c r="B50" s="8"/>
      <c r="C50" s="20" t="s">
        <v>28</v>
      </c>
      <c r="D50" s="10">
        <v>297.52</v>
      </c>
      <c r="E50" s="10">
        <v>239.28</v>
      </c>
      <c r="F50" s="10">
        <v>249.28</v>
      </c>
      <c r="G50" s="17"/>
    </row>
    <row r="51" spans="1:7" x14ac:dyDescent="0.25">
      <c r="A51" s="11">
        <v>46108</v>
      </c>
      <c r="B51" s="12"/>
      <c r="C51" s="21" t="s">
        <v>29</v>
      </c>
      <c r="D51" s="13">
        <v>297.23</v>
      </c>
      <c r="E51" s="13">
        <v>239.3</v>
      </c>
      <c r="F51" s="13">
        <v>249.3</v>
      </c>
      <c r="G51" s="17"/>
    </row>
    <row r="52" spans="1:7" x14ac:dyDescent="0.25">
      <c r="A52" s="14"/>
      <c r="B52" s="14"/>
      <c r="C52" s="15"/>
      <c r="D52" s="16"/>
      <c r="E52" s="16"/>
      <c r="F52" s="16"/>
      <c r="G52" s="17"/>
    </row>
    <row r="53" spans="1:7" ht="20.25" x14ac:dyDescent="0.25">
      <c r="A53" s="27" t="s">
        <v>30</v>
      </c>
      <c r="B53" s="27"/>
      <c r="C53" s="1"/>
      <c r="D53" s="17"/>
      <c r="E53" s="17"/>
      <c r="F53" s="17"/>
      <c r="G53" s="17"/>
    </row>
    <row r="54" spans="1:7" x14ac:dyDescent="0.25">
      <c r="A54" s="23" t="s">
        <v>4</v>
      </c>
      <c r="B54" s="5"/>
      <c r="C54" s="18" t="s">
        <v>5</v>
      </c>
      <c r="D54" s="19" t="s">
        <v>6</v>
      </c>
      <c r="E54" s="19" t="s">
        <v>7</v>
      </c>
      <c r="F54" s="19" t="s">
        <v>8</v>
      </c>
      <c r="G54" s="17"/>
    </row>
    <row r="55" spans="1:7" x14ac:dyDescent="0.25">
      <c r="A55" s="7">
        <v>46109</v>
      </c>
      <c r="B55" s="8"/>
      <c r="C55" s="20" t="s">
        <v>31</v>
      </c>
      <c r="D55" s="10">
        <v>312.86</v>
      </c>
      <c r="E55" s="10">
        <v>249.38</v>
      </c>
      <c r="F55" s="10">
        <v>259.38</v>
      </c>
      <c r="G55" s="17"/>
    </row>
    <row r="56" spans="1:7" x14ac:dyDescent="0.25">
      <c r="A56" s="11">
        <v>46109</v>
      </c>
      <c r="B56" s="12"/>
      <c r="C56" s="21" t="s">
        <v>32</v>
      </c>
      <c r="D56" s="13">
        <v>305.52999999999997</v>
      </c>
      <c r="E56" s="13">
        <v>246.98</v>
      </c>
      <c r="F56" s="13">
        <v>256.98</v>
      </c>
      <c r="G56" s="17"/>
    </row>
    <row r="57" spans="1:7" x14ac:dyDescent="0.25">
      <c r="A57" s="7">
        <v>46109</v>
      </c>
      <c r="B57" s="8"/>
      <c r="C57" s="20" t="s">
        <v>33</v>
      </c>
      <c r="D57" s="10">
        <v>305.44</v>
      </c>
      <c r="E57" s="10" t="s">
        <v>18</v>
      </c>
      <c r="F57" s="10" t="s">
        <v>18</v>
      </c>
      <c r="G57" s="17"/>
    </row>
    <row r="58" spans="1:7" x14ac:dyDescent="0.25">
      <c r="A58" s="11">
        <v>46109</v>
      </c>
      <c r="B58" s="12"/>
      <c r="C58" s="21" t="s">
        <v>34</v>
      </c>
      <c r="D58" s="13">
        <v>304.89999999999998</v>
      </c>
      <c r="E58" s="13">
        <v>241.36</v>
      </c>
      <c r="F58" s="13" t="s">
        <v>18</v>
      </c>
      <c r="G58" s="17"/>
    </row>
    <row r="59" spans="1:7" x14ac:dyDescent="0.25">
      <c r="A59" s="7">
        <v>46109</v>
      </c>
      <c r="B59" s="8"/>
      <c r="C59" s="20" t="s">
        <v>35</v>
      </c>
      <c r="D59" s="10">
        <v>300.76</v>
      </c>
      <c r="E59" s="10">
        <v>237.3</v>
      </c>
      <c r="F59" s="10">
        <v>247.3</v>
      </c>
      <c r="G59" s="17"/>
    </row>
    <row r="60" spans="1:7" x14ac:dyDescent="0.25">
      <c r="A60" s="11">
        <v>46109</v>
      </c>
      <c r="B60" s="12"/>
      <c r="C60" s="21" t="s">
        <v>36</v>
      </c>
      <c r="D60" s="13">
        <v>304.58999999999997</v>
      </c>
      <c r="E60" s="13">
        <v>246.64</v>
      </c>
      <c r="F60" s="13" t="s">
        <v>18</v>
      </c>
      <c r="G60" s="17"/>
    </row>
    <row r="61" spans="1:7" x14ac:dyDescent="0.25">
      <c r="A61" s="7">
        <v>46108</v>
      </c>
      <c r="B61" s="8"/>
      <c r="C61" s="20" t="s">
        <v>31</v>
      </c>
      <c r="D61" s="10">
        <v>311.52</v>
      </c>
      <c r="E61" s="10">
        <v>252.9</v>
      </c>
      <c r="F61" s="10">
        <v>262.89999999999998</v>
      </c>
      <c r="G61" s="17"/>
    </row>
    <row r="62" spans="1:7" x14ac:dyDescent="0.25">
      <c r="A62" s="11">
        <v>46108</v>
      </c>
      <c r="B62" s="12"/>
      <c r="C62" s="21" t="s">
        <v>32</v>
      </c>
      <c r="D62" s="13">
        <v>304.16000000000003</v>
      </c>
      <c r="E62" s="13">
        <v>250.89</v>
      </c>
      <c r="F62" s="13">
        <v>260.89</v>
      </c>
      <c r="G62" s="17"/>
    </row>
    <row r="63" spans="1:7" x14ac:dyDescent="0.25">
      <c r="A63" s="7">
        <v>46108</v>
      </c>
      <c r="B63" s="8"/>
      <c r="C63" s="20" t="s">
        <v>33</v>
      </c>
      <c r="D63" s="10">
        <v>304.06</v>
      </c>
      <c r="E63" s="10" t="s">
        <v>18</v>
      </c>
      <c r="F63" s="10" t="s">
        <v>18</v>
      </c>
      <c r="G63" s="17"/>
    </row>
    <row r="64" spans="1:7" x14ac:dyDescent="0.25">
      <c r="A64" s="11">
        <v>46108</v>
      </c>
      <c r="B64" s="12"/>
      <c r="C64" s="21" t="s">
        <v>34</v>
      </c>
      <c r="D64" s="13">
        <v>303.64</v>
      </c>
      <c r="E64" s="13">
        <v>245.26</v>
      </c>
      <c r="F64" s="13" t="s">
        <v>18</v>
      </c>
      <c r="G64" s="17"/>
    </row>
    <row r="65" spans="1:6" x14ac:dyDescent="0.25">
      <c r="A65" s="7">
        <v>46108</v>
      </c>
      <c r="B65" s="8"/>
      <c r="C65" s="20" t="s">
        <v>35</v>
      </c>
      <c r="D65" s="10">
        <v>299.49</v>
      </c>
      <c r="E65" s="10">
        <v>241.21</v>
      </c>
      <c r="F65" s="10">
        <v>251.21</v>
      </c>
    </row>
    <row r="66" spans="1:6" x14ac:dyDescent="0.25">
      <c r="A66" s="11">
        <v>46108</v>
      </c>
      <c r="B66" s="12"/>
      <c r="C66" s="21" t="s">
        <v>36</v>
      </c>
      <c r="D66" s="13">
        <v>303.32</v>
      </c>
      <c r="E66" s="13">
        <v>250.31</v>
      </c>
      <c r="F66" s="13" t="s">
        <v>18</v>
      </c>
    </row>
  </sheetData>
  <mergeCells count="6">
    <mergeCell ref="A39:B39"/>
    <mergeCell ref="A1:B1"/>
    <mergeCell ref="A6:B6"/>
    <mergeCell ref="A15:B15"/>
    <mergeCell ref="A20:B20"/>
    <mergeCell ref="A33:B33"/>
  </mergeCells>
  <pageMargins left="0.7" right="0.7" top="0.75" bottom="0.75" header="0.3" footer="0.3"/>
  <pageSetup scale="66" orientation="portrait" r:id="rId1"/>
  <headerFooter>
    <oddHeader>&amp;C
# Confidential</oddHead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3632DF5622958439304627C030B0427" ma:contentTypeVersion="18" ma:contentTypeDescription="Create a new document." ma:contentTypeScope="" ma:versionID="8c2ecbce386d6bac497f8eb2d8f0fb7a">
  <xsd:schema xmlns:xsd="http://www.w3.org/2001/XMLSchema" xmlns:xs="http://www.w3.org/2001/XMLSchema" xmlns:p="http://schemas.microsoft.com/office/2006/metadata/properties" xmlns:ns2="87276d81-85f4-4ef2-9e6e-55066304288f" xmlns:ns3="39e1dda6-d1d8-4c88-a3b9-f1abc1284bad" xmlns:ns4="b23b8984-eafa-4e79-985e-54f52f3da58e" targetNamespace="http://schemas.microsoft.com/office/2006/metadata/properties" ma:root="true" ma:fieldsID="4cfd0c2f651c1ce156ad4fcb44ea61dd" ns2:_="" ns3:_="" ns4:_="">
    <xsd:import namespace="87276d81-85f4-4ef2-9e6e-55066304288f"/>
    <xsd:import namespace="39e1dda6-d1d8-4c88-a3b9-f1abc1284bad"/>
    <xsd:import namespace="b23b8984-eafa-4e79-985e-54f52f3da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Tags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276d81-85f4-4ef2-9e6e-5506630428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1e0e634-2f09-4e55-a821-ed671eb111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e1dda6-d1d8-4c88-a3b9-f1abc1284ba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3b8984-eafa-4e79-985e-54f52f3da58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ff9c2119-d954-4294-963d-1227e5ac29b4}" ma:internalName="TaxCatchAll" ma:showField="CatchAllData" ma:web="39e1dda6-d1d8-4c88-a3b9-f1abc1284b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7276d81-85f4-4ef2-9e6e-55066304288f">
      <Terms xmlns="http://schemas.microsoft.com/office/infopath/2007/PartnerControls"/>
    </lcf76f155ced4ddcb4097134ff3c332f>
    <TaxCatchAll xmlns="b23b8984-eafa-4e79-985e-54f52f3da58e" xsi:nil="true"/>
  </documentManagement>
</p:properties>
</file>

<file path=customXml/itemProps1.xml><?xml version="1.0" encoding="utf-8"?>
<ds:datastoreItem xmlns:ds="http://schemas.openxmlformats.org/officeDocument/2006/customXml" ds:itemID="{B44E1863-2778-41F9-ACBA-48420F9316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276d81-85f4-4ef2-9e6e-55066304288f"/>
    <ds:schemaRef ds:uri="39e1dda6-d1d8-4c88-a3b9-f1abc1284bad"/>
    <ds:schemaRef ds:uri="b23b8984-eafa-4e79-985e-54f52f3da5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0519E9-FD90-4339-869C-BC2F85719B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A83D98-2BAE-4D83-823A-D31C464B620C}">
  <ds:schemaRefs>
    <ds:schemaRef ds:uri="http://www.w3.org/XML/1998/namespace"/>
    <ds:schemaRef ds:uri="http://purl.org/dc/dcmitype/"/>
    <ds:schemaRef ds:uri="b23b8984-eafa-4e79-985e-54f52f3da58e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9e1dda6-d1d8-4c88-a3b9-f1abc1284bad"/>
    <ds:schemaRef ds:uri="87276d81-85f4-4ef2-9e6e-55066304288f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569bf4a9-87bd-4dbf-a36c-1db5158e5def}" enabled="1" method="Privileged" siteId="{ea80952e-a476-42d4-aaf4-5457852b0f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Andrew</dc:creator>
  <cp:lastModifiedBy>Huang, Andrew</cp:lastModifiedBy>
  <cp:lastPrinted>2026-03-27T06:07:59Z</cp:lastPrinted>
  <dcterms:created xsi:type="dcterms:W3CDTF">2023-04-03T22:31:23Z</dcterms:created>
  <dcterms:modified xsi:type="dcterms:W3CDTF">2026-03-27T06:08:01Z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0x010100D3632DF5622958439304627C030B0427</vt:lpwstr>
  </property>
</Properties>
</file>